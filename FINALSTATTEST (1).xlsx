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738368fbe751cb/Documents/"/>
    </mc:Choice>
  </mc:AlternateContent>
  <xr:revisionPtr revIDLastSave="0" documentId="8_{D5AB3CF8-7BA5-45E9-8CCC-9946C146CA19}" xr6:coauthVersionLast="47" xr6:coauthVersionMax="47" xr10:uidLastSave="{00000000-0000-0000-0000-000000000000}"/>
  <bookViews>
    <workbookView xWindow="-108" yWindow="-108" windowWidth="23256" windowHeight="12456" firstSheet="1" activeTab="1" xr2:uid="{6ED177CA-DD1A-4303-B356-C3B96FC52A54}"/>
  </bookViews>
  <sheets>
    <sheet name="TEST outliers (1)" sheetId="1" r:id="rId1"/>
    <sheet name="NEW QUADE NONPAR ANCOVA" sheetId="5" r:id="rId2"/>
    <sheet name="NEW DATA TO INTERPRET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1" l="1"/>
</calcChain>
</file>

<file path=xl/sharedStrings.xml><?xml version="1.0" encoding="utf-8"?>
<sst xmlns="http://schemas.openxmlformats.org/spreadsheetml/2006/main" count="339" uniqueCount="43">
  <si>
    <r>
      <t xml:space="preserve">The points in your plot fall </t>
    </r>
    <r>
      <rPr>
        <b/>
        <sz val="11"/>
        <color theme="1"/>
        <rFont val="Calibri"/>
        <family val="2"/>
        <scheme val="minor"/>
      </rPr>
      <t>fairly close to the diagonal line</t>
    </r>
    <r>
      <rPr>
        <sz val="11"/>
        <color theme="1"/>
        <rFont val="Calibri"/>
        <family val="2"/>
        <scheme val="minor"/>
      </rPr>
      <t>.</t>
    </r>
  </si>
  <si>
    <r>
      <t xml:space="preserve">There are </t>
    </r>
    <r>
      <rPr>
        <b/>
        <sz val="11"/>
        <color theme="1"/>
        <rFont val="Calibri"/>
        <family val="2"/>
        <scheme val="minor"/>
      </rPr>
      <t>minor deviations</t>
    </r>
    <r>
      <rPr>
        <sz val="11"/>
        <color theme="1"/>
        <rFont val="Calibri"/>
        <family val="2"/>
        <scheme val="minor"/>
      </rPr>
      <t xml:space="preserve"> at the lower and upper tails, which is common.</t>
    </r>
  </si>
  <si>
    <t>residuals appear sufficiently normal for most regression assumptions.</t>
  </si>
  <si>
    <r>
      <t xml:space="preserve">Based on this residuals-vs-predicted scatterplot, there is </t>
    </r>
    <r>
      <rPr>
        <i/>
        <sz val="11"/>
        <color theme="1"/>
        <rFont val="Calibri"/>
        <family val="2"/>
        <scheme val="minor"/>
      </rPr>
      <t>no clear evidence of non-linearity</t>
    </r>
    <r>
      <rPr>
        <sz val="11"/>
        <color theme="1"/>
        <rFont val="Calibri"/>
        <family val="2"/>
        <scheme val="minor"/>
      </rPr>
      <t>.</t>
    </r>
  </si>
  <si>
    <t>cutoff</t>
  </si>
  <si>
    <t>max of the leverage</t>
  </si>
  <si>
    <r>
      <t xml:space="preserve">data </t>
    </r>
    <r>
      <rPr>
        <b/>
        <sz val="11"/>
        <color theme="1"/>
        <rFont val="Calibri"/>
        <family val="2"/>
        <scheme val="minor"/>
      </rPr>
      <t>does not contain extreme X-values</t>
    </r>
    <r>
      <rPr>
        <sz val="11"/>
        <color theme="1"/>
        <rFont val="Calibri"/>
        <family val="2"/>
        <scheme val="minor"/>
      </rPr>
      <t xml:space="preserve"> that could disproportionately pull or influence the regression line.</t>
    </r>
  </si>
  <si>
    <r>
      <t xml:space="preserve">This supports the </t>
    </r>
    <r>
      <rPr>
        <b/>
        <sz val="11"/>
        <color theme="1"/>
        <rFont val="Calibri"/>
        <family val="2"/>
        <scheme val="minor"/>
      </rPr>
      <t>assumptions of regression/ANCOVA</t>
    </r>
    <r>
      <rPr>
        <sz val="11"/>
        <color theme="1"/>
        <rFont val="Calibri"/>
        <family val="2"/>
        <scheme val="minor"/>
      </rPr>
      <t xml:space="preserve"> and indicates </t>
    </r>
    <r>
      <rPr>
        <b/>
        <sz val="11"/>
        <color theme="1"/>
        <rFont val="Calibri"/>
        <family val="2"/>
        <scheme val="minor"/>
      </rPr>
      <t>no problematic leverage values</t>
    </r>
    <r>
      <rPr>
        <sz val="11"/>
        <color theme="1"/>
        <rFont val="Calibri"/>
        <family val="2"/>
        <scheme val="minor"/>
      </rPr>
      <t>.</t>
    </r>
  </si>
  <si>
    <t>0.12 &gt; 0.06597</t>
  </si>
  <si>
    <t>LEVERAGE POINT</t>
  </si>
  <si>
    <t>WHY 0.12 (=3*2/50=0.12), This is the cutoff for the leverage point</t>
  </si>
  <si>
    <t>cook distance (4/n)</t>
  </si>
  <si>
    <t xml:space="preserve"> &gt; .11083</t>
  </si>
  <si>
    <t>Because the maximum Cook’s Distance exceeds the cutoff (0.11083 &gt; 0.08), the model contains an influential data point that warrants investigation.</t>
  </si>
  <si>
    <t>there are two influential case for the cook distance under respondents 8 and 9.</t>
  </si>
  <si>
    <t>Rarely</t>
  </si>
  <si>
    <t>Sometimes</t>
  </si>
  <si>
    <t>No</t>
  </si>
  <si>
    <t>Often</t>
  </si>
  <si>
    <t>RANK OF HOUSEHOLD SIZE</t>
  </si>
  <si>
    <t>RANK OF NUMBER OF INCOME EARNERS</t>
  </si>
  <si>
    <t>RANK</t>
  </si>
  <si>
    <t>CHARTS</t>
  </si>
  <si>
    <t>POST HOC TEST</t>
  </si>
  <si>
    <t>REGRESSION</t>
  </si>
  <si>
    <t>UNIVARIATE OF ANALYSIS</t>
  </si>
  <si>
    <t>ESTIMATED MONTHLY HOUSEHOLD INCOME</t>
  </si>
  <si>
    <t>HOMOGENOUS SUBSETS</t>
  </si>
  <si>
    <t>RESPONDENTS</t>
  </si>
  <si>
    <t>ESTIMATED MONTHLY INCOME</t>
  </si>
  <si>
    <t>HOUSEHOLD SIZE</t>
  </si>
  <si>
    <t>NUMBER OF INCOME EARNERS</t>
  </si>
  <si>
    <t>MONTHLY HOUSEHOLD FOOD EXPENDITURES</t>
  </si>
  <si>
    <t>HFIAS 1</t>
  </si>
  <si>
    <t>HFIAS 2</t>
  </si>
  <si>
    <t>HFIAS 3</t>
  </si>
  <si>
    <t>HFIAS 4</t>
  </si>
  <si>
    <t>HFIAS 5</t>
  </si>
  <si>
    <t>HFIAS 6</t>
  </si>
  <si>
    <t>QUESTIONS TOTAL SCORE</t>
  </si>
  <si>
    <t>RANK OF QUESTIONS TOTAL SCORE</t>
  </si>
  <si>
    <t>RANK OF MONTHLY HOUSEHOLD EXPENDITURES</t>
  </si>
  <si>
    <t>UNSTANDARDIZED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</si>
</sst>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indexed="8"/>
      <name val="Arial Bol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0" xfId="0" applyFont="1"/>
    <xf numFmtId="0" fontId="3" fillId="0" borderId="0" xfId="1"/>
    <xf numFmtId="0" fontId="4" fillId="0" borderId="0" xfId="1" applyFont="1"/>
  </cellXfs>
  <cellStyles count="2">
    <cellStyle name="Normal" xfId="0" builtinId="0"/>
    <cellStyle name="Normal_NEW DATA TO INTERPRET" xfId="1" xr:uid="{29A3BC11-8979-4DD0-810E-224E584B7C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18.png"/><Relationship Id="rId3" Type="http://schemas.openxmlformats.org/officeDocument/2006/relationships/image" Target="../media/image8.jpe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2" Type="http://schemas.openxmlformats.org/officeDocument/2006/relationships/image" Target="../media/image7.png"/><Relationship Id="rId1" Type="http://schemas.openxmlformats.org/officeDocument/2006/relationships/image" Target="../media/image6.jpe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295275</xdr:colOff>
      <xdr:row>20</xdr:row>
      <xdr:rowOff>1905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6D2C70-7D39-1C60-04D3-FD087F18B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5172075" cy="34766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11</xdr:col>
      <xdr:colOff>2038350</xdr:colOff>
      <xdr:row>46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A0CBAF-8EA2-7368-0D1B-9D06F9ABF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023360"/>
          <a:ext cx="8134350" cy="4800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11</xdr:col>
      <xdr:colOff>2038350</xdr:colOff>
      <xdr:row>73</xdr:row>
      <xdr:rowOff>45720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9E9E2D9-B155-0063-86CB-1A62C33A3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8961120"/>
          <a:ext cx="8134350" cy="4800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11</xdr:col>
      <xdr:colOff>2038350</xdr:colOff>
      <xdr:row>101</xdr:row>
      <xdr:rowOff>45720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0CC58A-3EAF-93D3-66B4-348DE479A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3716000"/>
          <a:ext cx="8134350" cy="4800600"/>
        </a:xfrm>
        <a:prstGeom prst="rect">
          <a:avLst/>
        </a:prstGeom>
      </xdr:spPr>
    </xdr:pic>
    <xdr:clientData/>
  </xdr:twoCellAnchor>
  <xdr:twoCellAnchor editAs="oneCell">
    <xdr:from>
      <xdr:col>11</xdr:col>
      <xdr:colOff>586740</xdr:colOff>
      <xdr:row>14</xdr:row>
      <xdr:rowOff>45720</xdr:rowOff>
    </xdr:from>
    <xdr:to>
      <xdr:col>31</xdr:col>
      <xdr:colOff>520665</xdr:colOff>
      <xdr:row>21</xdr:row>
      <xdr:rowOff>3983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D58D4F4-CB74-983E-3C47-1A5309F47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92340" y="2606040"/>
          <a:ext cx="17947605" cy="12384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601980</xdr:colOff>
      <xdr:row>2</xdr:row>
      <xdr:rowOff>53340</xdr:rowOff>
    </xdr:from>
    <xdr:to>
      <xdr:col>9</xdr:col>
      <xdr:colOff>249555</xdr:colOff>
      <xdr:row>16</xdr:row>
      <xdr:rowOff>93345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C6E25A-08D0-6675-1294-C5F8B18C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980" y="419100"/>
          <a:ext cx="5133975" cy="26003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7</xdr:col>
      <xdr:colOff>200025</xdr:colOff>
      <xdr:row>28</xdr:row>
      <xdr:rowOff>171450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500EC91-B19B-13F3-CE6A-5C5484C16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291840"/>
          <a:ext cx="3857625" cy="2000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11</xdr:col>
      <xdr:colOff>447675</xdr:colOff>
      <xdr:row>58</xdr:row>
      <xdr:rowOff>127635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2FBD0F7-CC8D-1C30-A5CE-D4C203CA9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5486400"/>
          <a:ext cx="6543675" cy="52482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59</xdr:row>
      <xdr:rowOff>53340</xdr:rowOff>
    </xdr:from>
    <xdr:to>
      <xdr:col>6</xdr:col>
      <xdr:colOff>76200</xdr:colOff>
      <xdr:row>74</xdr:row>
      <xdr:rowOff>139065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EAF3B69-963B-4DE4-0CAC-006B43E23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7700" y="10843260"/>
          <a:ext cx="3086100" cy="28289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13</xdr:col>
      <xdr:colOff>247650</xdr:colOff>
      <xdr:row>84</xdr:row>
      <xdr:rowOff>137160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7911D07-0C76-4E2A-5455-D43F0DBD1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3898880"/>
          <a:ext cx="7562850" cy="1600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9</xdr:col>
      <xdr:colOff>209550</xdr:colOff>
      <xdr:row>96</xdr:row>
      <xdr:rowOff>133350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FCF831D-70C3-8DEC-E1C4-B118F4762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15727680"/>
          <a:ext cx="5086350" cy="19621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15</xdr:col>
      <xdr:colOff>436245</xdr:colOff>
      <xdr:row>111</xdr:row>
      <xdr:rowOff>51435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27263EB-90A6-FAE1-F1CC-212BFBA7B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17922240"/>
          <a:ext cx="9305925" cy="24288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11</xdr:col>
      <xdr:colOff>438150</xdr:colOff>
      <xdr:row>124</xdr:row>
      <xdr:rowOff>91440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D28584F-FA36-5BCF-8546-4DEA04AB8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20482560"/>
          <a:ext cx="6534150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9</xdr:col>
      <xdr:colOff>209550</xdr:colOff>
      <xdr:row>134</xdr:row>
      <xdr:rowOff>11430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DD26385-FB31-3D77-49AE-D1245C60F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22860000"/>
          <a:ext cx="5086350" cy="165735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136</xdr:row>
      <xdr:rowOff>83820</xdr:rowOff>
    </xdr:from>
    <xdr:to>
      <xdr:col>14</xdr:col>
      <xdr:colOff>224790</xdr:colOff>
      <xdr:row>162</xdr:row>
      <xdr:rowOff>129540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E187014-308A-AECB-6BD4-D63D629BE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4840" y="24955500"/>
          <a:ext cx="8134350" cy="4800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14</xdr:col>
      <xdr:colOff>209550</xdr:colOff>
      <xdr:row>190</xdr:row>
      <xdr:rowOff>45720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A79FA8A-1BD6-97B5-FDDE-9C73992CF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29992320"/>
          <a:ext cx="8134350" cy="4800600"/>
        </a:xfrm>
        <a:prstGeom prst="rect">
          <a:avLst/>
        </a:prstGeom>
      </xdr:spPr>
    </xdr:pic>
    <xdr:clientData/>
  </xdr:twoCellAnchor>
  <xdr:twoCellAnchor editAs="oneCell">
    <xdr:from>
      <xdr:col>1</xdr:col>
      <xdr:colOff>99060</xdr:colOff>
      <xdr:row>192</xdr:row>
      <xdr:rowOff>106680</xdr:rowOff>
    </xdr:from>
    <xdr:to>
      <xdr:col>5</xdr:col>
      <xdr:colOff>413385</xdr:colOff>
      <xdr:row>198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2623000-8F93-F485-0C66-254A7DDFF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08660" y="35219640"/>
          <a:ext cx="2752725" cy="11906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9</xdr:col>
      <xdr:colOff>476250</xdr:colOff>
      <xdr:row>213</xdr:row>
      <xdr:rowOff>175260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BEC23B4-EFF2-10E7-7DFD-E0C4A503A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36614100"/>
          <a:ext cx="5353050" cy="2552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12</xdr:col>
      <xdr:colOff>581025</xdr:colOff>
      <xdr:row>234</xdr:row>
      <xdr:rowOff>5715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AECF0DDE-6B2B-EC51-EBA3-EE542227E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39723060"/>
          <a:ext cx="7286625" cy="31146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7</xdr:col>
      <xdr:colOff>152400</xdr:colOff>
      <xdr:row>252</xdr:row>
      <xdr:rowOff>112395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2403C70-7B81-9588-6A7A-2ECF78648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43197780"/>
          <a:ext cx="3810000" cy="3038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21E2D-16EB-4E16-BA7A-CC2F3335AA02}">
  <dimension ref="L5:O23"/>
  <sheetViews>
    <sheetView zoomScale="63" zoomScaleNormal="63" workbookViewId="0">
      <selection activeCell="W1" sqref="W1"/>
    </sheetView>
  </sheetViews>
  <sheetFormatPr defaultRowHeight="14.4" x14ac:dyDescent="0.3"/>
  <cols>
    <col min="12" max="12" width="89.5546875" bestFit="1" customWidth="1"/>
    <col min="13" max="13" width="13.109375" bestFit="1" customWidth="1"/>
  </cols>
  <sheetData>
    <row r="5" spans="12:15" x14ac:dyDescent="0.3">
      <c r="L5" t="s">
        <v>0</v>
      </c>
    </row>
    <row r="6" spans="12:15" x14ac:dyDescent="0.3">
      <c r="L6" t="s">
        <v>1</v>
      </c>
    </row>
    <row r="7" spans="12:15" x14ac:dyDescent="0.3">
      <c r="L7" s="1" t="s">
        <v>2</v>
      </c>
    </row>
    <row r="8" spans="12:15" x14ac:dyDescent="0.3">
      <c r="L8" t="s">
        <v>3</v>
      </c>
    </row>
    <row r="9" spans="12:15" x14ac:dyDescent="0.3">
      <c r="L9" t="s">
        <v>9</v>
      </c>
      <c r="M9" t="s">
        <v>8</v>
      </c>
      <c r="N9">
        <v>6.5970000000000001E-2</v>
      </c>
      <c r="O9" t="s">
        <v>10</v>
      </c>
    </row>
    <row r="10" spans="12:15" x14ac:dyDescent="0.3">
      <c r="L10" t="s">
        <v>4</v>
      </c>
      <c r="N10" t="s">
        <v>5</v>
      </c>
    </row>
    <row r="11" spans="12:15" x14ac:dyDescent="0.3">
      <c r="L11" t="s">
        <v>6</v>
      </c>
    </row>
    <row r="12" spans="12:15" x14ac:dyDescent="0.3">
      <c r="L12" t="s">
        <v>7</v>
      </c>
    </row>
    <row r="13" spans="12:15" x14ac:dyDescent="0.3">
      <c r="L13" t="s">
        <v>11</v>
      </c>
      <c r="M13">
        <f>4/50</f>
        <v>0.08</v>
      </c>
      <c r="N13" t="s">
        <v>12</v>
      </c>
    </row>
    <row r="14" spans="12:15" x14ac:dyDescent="0.3">
      <c r="L14" t="s">
        <v>13</v>
      </c>
    </row>
    <row r="23" spans="13:13" x14ac:dyDescent="0.3">
      <c r="M23" t="s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2ABBD-FE9A-477D-AF5D-168DFE0B00F9}">
  <dimension ref="A1:Q51"/>
  <sheetViews>
    <sheetView tabSelected="1" topLeftCell="I1" workbookViewId="0">
      <selection activeCell="R1" sqref="R1:R1048576"/>
    </sheetView>
  </sheetViews>
  <sheetFormatPr defaultRowHeight="14.4" x14ac:dyDescent="0.3"/>
  <cols>
    <col min="1" max="1" width="13.21875" bestFit="1" customWidth="1"/>
    <col min="2" max="2" width="32.5546875" bestFit="1" customWidth="1"/>
    <col min="3" max="3" width="15.33203125" bestFit="1" customWidth="1"/>
    <col min="4" max="4" width="27.109375" bestFit="1" customWidth="1"/>
    <col min="5" max="5" width="39.21875" bestFit="1" customWidth="1"/>
    <col min="12" max="12" width="21.77734375" bestFit="1" customWidth="1"/>
    <col min="13" max="13" width="30.5546875" bestFit="1" customWidth="1"/>
    <col min="14" max="14" width="23.21875" bestFit="1" customWidth="1"/>
    <col min="15" max="15" width="35" bestFit="1" customWidth="1"/>
    <col min="16" max="16" width="40.77734375" bestFit="1" customWidth="1"/>
    <col min="17" max="17" width="26.21875" bestFit="1" customWidth="1"/>
  </cols>
  <sheetData>
    <row r="1" spans="1:17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19</v>
      </c>
      <c r="O1" t="s">
        <v>20</v>
      </c>
      <c r="P1" t="s">
        <v>41</v>
      </c>
      <c r="Q1" t="s">
        <v>42</v>
      </c>
    </row>
    <row r="2" spans="1:17" x14ac:dyDescent="0.3">
      <c r="A2">
        <v>1</v>
      </c>
      <c r="B2">
        <v>1</v>
      </c>
      <c r="C2">
        <v>2</v>
      </c>
      <c r="D2">
        <v>1</v>
      </c>
      <c r="E2">
        <v>3</v>
      </c>
      <c r="F2" t="s">
        <v>15</v>
      </c>
      <c r="G2" t="s">
        <v>16</v>
      </c>
      <c r="H2" t="s">
        <v>16</v>
      </c>
      <c r="I2" t="s">
        <v>17</v>
      </c>
      <c r="J2" t="s">
        <v>17</v>
      </c>
      <c r="K2" t="s">
        <v>17</v>
      </c>
      <c r="L2">
        <v>5</v>
      </c>
      <c r="M2">
        <v>28.5</v>
      </c>
      <c r="N2">
        <v>28</v>
      </c>
      <c r="O2">
        <v>20.5</v>
      </c>
      <c r="P2">
        <v>33</v>
      </c>
      <c r="Q2">
        <v>2.7384900000000001</v>
      </c>
    </row>
    <row r="3" spans="1:17" x14ac:dyDescent="0.3">
      <c r="A3">
        <v>2</v>
      </c>
      <c r="B3">
        <v>1</v>
      </c>
      <c r="C3">
        <v>3</v>
      </c>
      <c r="D3">
        <v>1</v>
      </c>
      <c r="E3">
        <v>2</v>
      </c>
      <c r="F3" t="s">
        <v>15</v>
      </c>
      <c r="G3" t="s">
        <v>17</v>
      </c>
      <c r="H3" t="s">
        <v>17</v>
      </c>
      <c r="I3" t="s">
        <v>17</v>
      </c>
      <c r="J3" t="s">
        <v>15</v>
      </c>
      <c r="K3" t="s">
        <v>17</v>
      </c>
      <c r="L3">
        <v>2</v>
      </c>
      <c r="M3">
        <v>16.5</v>
      </c>
      <c r="N3">
        <v>44</v>
      </c>
      <c r="O3">
        <v>20.5</v>
      </c>
      <c r="P3">
        <v>15</v>
      </c>
      <c r="Q3">
        <v>-20.04757</v>
      </c>
    </row>
    <row r="4" spans="1:17" x14ac:dyDescent="0.3">
      <c r="A4">
        <v>3</v>
      </c>
      <c r="B4">
        <v>3</v>
      </c>
      <c r="C4">
        <v>2</v>
      </c>
      <c r="D4">
        <v>2</v>
      </c>
      <c r="E4">
        <v>3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>
        <v>0</v>
      </c>
      <c r="M4">
        <v>6</v>
      </c>
      <c r="N4">
        <v>28</v>
      </c>
      <c r="O4">
        <v>45.5</v>
      </c>
      <c r="P4">
        <v>33</v>
      </c>
      <c r="Q4">
        <v>-13.57921</v>
      </c>
    </row>
    <row r="5" spans="1:17" x14ac:dyDescent="0.3">
      <c r="A5">
        <v>4</v>
      </c>
      <c r="B5">
        <v>1</v>
      </c>
      <c r="C5">
        <v>3</v>
      </c>
      <c r="D5">
        <v>1</v>
      </c>
      <c r="E5">
        <v>3</v>
      </c>
      <c r="F5" t="s">
        <v>16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>
        <v>2</v>
      </c>
      <c r="M5">
        <v>16.5</v>
      </c>
      <c r="N5">
        <v>44</v>
      </c>
      <c r="O5">
        <v>20.5</v>
      </c>
      <c r="P5">
        <v>33</v>
      </c>
      <c r="Q5">
        <v>-15.40419</v>
      </c>
    </row>
    <row r="6" spans="1:17" x14ac:dyDescent="0.3">
      <c r="A6">
        <v>5</v>
      </c>
      <c r="B6">
        <v>2</v>
      </c>
      <c r="C6">
        <v>3</v>
      </c>
      <c r="D6">
        <v>1</v>
      </c>
      <c r="E6">
        <v>5</v>
      </c>
      <c r="F6" t="s">
        <v>16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>
        <v>2</v>
      </c>
      <c r="M6">
        <v>16.5</v>
      </c>
      <c r="N6">
        <v>44</v>
      </c>
      <c r="O6">
        <v>20.5</v>
      </c>
      <c r="P6">
        <v>49.5</v>
      </c>
      <c r="Q6">
        <v>-11.14775</v>
      </c>
    </row>
    <row r="7" spans="1:17" x14ac:dyDescent="0.3">
      <c r="A7">
        <v>6</v>
      </c>
      <c r="B7">
        <v>2</v>
      </c>
      <c r="C7">
        <v>1</v>
      </c>
      <c r="D7">
        <v>1</v>
      </c>
      <c r="E7">
        <v>3</v>
      </c>
      <c r="F7" t="s">
        <v>15</v>
      </c>
      <c r="G7" t="s">
        <v>15</v>
      </c>
      <c r="H7" t="s">
        <v>17</v>
      </c>
      <c r="I7" t="s">
        <v>17</v>
      </c>
      <c r="J7" t="s">
        <v>17</v>
      </c>
      <c r="K7" t="s">
        <v>17</v>
      </c>
      <c r="L7">
        <v>2</v>
      </c>
      <c r="M7">
        <v>16.5</v>
      </c>
      <c r="N7">
        <v>9.5</v>
      </c>
      <c r="O7">
        <v>20.5</v>
      </c>
      <c r="P7">
        <v>33</v>
      </c>
      <c r="Q7">
        <v>-2.1590400000000001</v>
      </c>
    </row>
    <row r="8" spans="1:17" x14ac:dyDescent="0.3">
      <c r="A8">
        <v>7</v>
      </c>
      <c r="B8">
        <v>1</v>
      </c>
      <c r="C8">
        <v>1</v>
      </c>
      <c r="D8">
        <v>1</v>
      </c>
      <c r="E8">
        <v>1</v>
      </c>
      <c r="F8" t="s">
        <v>16</v>
      </c>
      <c r="G8" t="s">
        <v>16</v>
      </c>
      <c r="H8" t="s">
        <v>16</v>
      </c>
      <c r="I8" t="s">
        <v>17</v>
      </c>
      <c r="J8" t="s">
        <v>17</v>
      </c>
      <c r="K8" t="s">
        <v>17</v>
      </c>
      <c r="L8">
        <v>6</v>
      </c>
      <c r="M8">
        <v>34.5</v>
      </c>
      <c r="N8">
        <v>9.5</v>
      </c>
      <c r="O8">
        <v>20.5</v>
      </c>
      <c r="P8">
        <v>4.5</v>
      </c>
      <c r="Q8">
        <v>8.4889299999999999</v>
      </c>
    </row>
    <row r="9" spans="1:17" x14ac:dyDescent="0.3">
      <c r="A9">
        <v>8</v>
      </c>
      <c r="B9">
        <v>3</v>
      </c>
      <c r="C9">
        <v>1</v>
      </c>
      <c r="D9">
        <v>1</v>
      </c>
      <c r="E9">
        <v>3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>
        <v>6</v>
      </c>
      <c r="M9">
        <v>34.5</v>
      </c>
      <c r="N9">
        <v>9.5</v>
      </c>
      <c r="O9">
        <v>20.5</v>
      </c>
      <c r="P9">
        <v>33</v>
      </c>
      <c r="Q9">
        <v>15.840960000000001</v>
      </c>
    </row>
    <row r="10" spans="1:17" x14ac:dyDescent="0.3">
      <c r="A10">
        <v>9</v>
      </c>
      <c r="B10">
        <v>3</v>
      </c>
      <c r="C10">
        <v>1</v>
      </c>
      <c r="D10">
        <v>1</v>
      </c>
      <c r="E10">
        <v>3</v>
      </c>
      <c r="F10" t="s">
        <v>15</v>
      </c>
      <c r="G10" t="s">
        <v>15</v>
      </c>
      <c r="H10" t="s">
        <v>16</v>
      </c>
      <c r="I10" t="s">
        <v>15</v>
      </c>
      <c r="J10" t="s">
        <v>15</v>
      </c>
      <c r="K10" t="s">
        <v>17</v>
      </c>
      <c r="L10">
        <v>6</v>
      </c>
      <c r="M10">
        <v>34.5</v>
      </c>
      <c r="N10">
        <v>9.5</v>
      </c>
      <c r="O10">
        <v>20.5</v>
      </c>
      <c r="P10">
        <v>33</v>
      </c>
      <c r="Q10">
        <v>15.840960000000001</v>
      </c>
    </row>
    <row r="11" spans="1:17" x14ac:dyDescent="0.3">
      <c r="A11">
        <v>10</v>
      </c>
      <c r="B11">
        <v>2</v>
      </c>
      <c r="C11">
        <v>3</v>
      </c>
      <c r="D11">
        <v>2</v>
      </c>
      <c r="E11">
        <v>3</v>
      </c>
      <c r="F11" t="s">
        <v>15</v>
      </c>
      <c r="G11" t="s">
        <v>15</v>
      </c>
      <c r="H11" t="s">
        <v>15</v>
      </c>
      <c r="I11" t="s">
        <v>17</v>
      </c>
      <c r="J11" t="s">
        <v>17</v>
      </c>
      <c r="K11" t="s">
        <v>17</v>
      </c>
      <c r="L11">
        <v>3</v>
      </c>
      <c r="M11">
        <v>21.5</v>
      </c>
      <c r="N11">
        <v>44</v>
      </c>
      <c r="O11">
        <v>45.5</v>
      </c>
      <c r="P11">
        <v>33</v>
      </c>
      <c r="Q11">
        <v>-4.2218900000000001</v>
      </c>
    </row>
    <row r="12" spans="1:17" x14ac:dyDescent="0.3">
      <c r="A12">
        <v>11</v>
      </c>
      <c r="B12">
        <v>1</v>
      </c>
      <c r="C12">
        <v>2</v>
      </c>
      <c r="D12">
        <v>1</v>
      </c>
      <c r="E12">
        <v>4</v>
      </c>
      <c r="F12" t="s">
        <v>16</v>
      </c>
      <c r="G12" t="s">
        <v>16</v>
      </c>
      <c r="H12" t="s">
        <v>15</v>
      </c>
      <c r="I12" t="s">
        <v>17</v>
      </c>
      <c r="J12" t="s">
        <v>17</v>
      </c>
      <c r="K12" t="s">
        <v>17</v>
      </c>
      <c r="L12">
        <v>5</v>
      </c>
      <c r="M12">
        <v>28.5</v>
      </c>
      <c r="N12">
        <v>28</v>
      </c>
      <c r="O12">
        <v>20.5</v>
      </c>
      <c r="P12">
        <v>46.5</v>
      </c>
      <c r="Q12">
        <v>6.2210299999999998</v>
      </c>
    </row>
    <row r="13" spans="1:17" x14ac:dyDescent="0.3">
      <c r="A13">
        <v>12</v>
      </c>
      <c r="B13">
        <v>1</v>
      </c>
      <c r="C13">
        <v>1</v>
      </c>
      <c r="D13">
        <v>1</v>
      </c>
      <c r="E13">
        <v>1</v>
      </c>
      <c r="F13" t="s">
        <v>16</v>
      </c>
      <c r="G13" t="s">
        <v>15</v>
      </c>
      <c r="H13" t="s">
        <v>15</v>
      </c>
      <c r="I13" t="s">
        <v>17</v>
      </c>
      <c r="J13" t="s">
        <v>16</v>
      </c>
      <c r="K13" t="s">
        <v>17</v>
      </c>
      <c r="L13">
        <v>6</v>
      </c>
      <c r="M13">
        <v>34.5</v>
      </c>
      <c r="N13">
        <v>9.5</v>
      </c>
      <c r="O13">
        <v>20.5</v>
      </c>
      <c r="P13">
        <v>4.5</v>
      </c>
      <c r="Q13">
        <v>8.4889299999999999</v>
      </c>
    </row>
    <row r="14" spans="1:17" x14ac:dyDescent="0.3">
      <c r="A14">
        <v>13</v>
      </c>
      <c r="B14">
        <v>1</v>
      </c>
      <c r="C14">
        <v>1</v>
      </c>
      <c r="D14">
        <v>1</v>
      </c>
      <c r="E14">
        <v>3</v>
      </c>
      <c r="F14" t="s">
        <v>15</v>
      </c>
      <c r="G14" t="s">
        <v>16</v>
      </c>
      <c r="H14" t="s">
        <v>17</v>
      </c>
      <c r="I14" t="s">
        <v>17</v>
      </c>
      <c r="J14" t="s">
        <v>17</v>
      </c>
      <c r="K14" t="s">
        <v>17</v>
      </c>
      <c r="L14">
        <v>3</v>
      </c>
      <c r="M14">
        <v>21.5</v>
      </c>
      <c r="N14">
        <v>9.5</v>
      </c>
      <c r="O14">
        <v>20.5</v>
      </c>
      <c r="P14">
        <v>33</v>
      </c>
      <c r="Q14">
        <v>2.8409599999999999</v>
      </c>
    </row>
    <row r="15" spans="1:17" x14ac:dyDescent="0.3">
      <c r="A15">
        <v>14</v>
      </c>
      <c r="B15">
        <v>1</v>
      </c>
      <c r="C15">
        <v>1</v>
      </c>
      <c r="D15">
        <v>1</v>
      </c>
      <c r="E15">
        <v>1</v>
      </c>
      <c r="F15" t="s">
        <v>15</v>
      </c>
      <c r="G15" t="s">
        <v>15</v>
      </c>
      <c r="H15" t="s">
        <v>17</v>
      </c>
      <c r="I15" t="s">
        <v>17</v>
      </c>
      <c r="J15" t="s">
        <v>15</v>
      </c>
      <c r="K15" t="s">
        <v>17</v>
      </c>
      <c r="L15">
        <v>3</v>
      </c>
      <c r="M15">
        <v>21.5</v>
      </c>
      <c r="N15">
        <v>9.5</v>
      </c>
      <c r="O15">
        <v>20.5</v>
      </c>
      <c r="P15">
        <v>4.5</v>
      </c>
      <c r="Q15">
        <v>-4.5110700000000001</v>
      </c>
    </row>
    <row r="16" spans="1:17" x14ac:dyDescent="0.3">
      <c r="A16">
        <v>15</v>
      </c>
      <c r="B16">
        <v>1</v>
      </c>
      <c r="C16">
        <v>2</v>
      </c>
      <c r="D16">
        <v>1</v>
      </c>
      <c r="E16">
        <v>2</v>
      </c>
      <c r="F16" t="s">
        <v>15</v>
      </c>
      <c r="G16" t="s">
        <v>15</v>
      </c>
      <c r="H16" t="s">
        <v>15</v>
      </c>
      <c r="I16" t="s">
        <v>17</v>
      </c>
      <c r="J16" t="s">
        <v>17</v>
      </c>
      <c r="K16" t="s">
        <v>17</v>
      </c>
      <c r="L16">
        <v>3</v>
      </c>
      <c r="M16">
        <v>21.5</v>
      </c>
      <c r="N16">
        <v>28</v>
      </c>
      <c r="O16">
        <v>20.5</v>
      </c>
      <c r="P16">
        <v>15</v>
      </c>
      <c r="Q16">
        <v>-8.9048999999999996</v>
      </c>
    </row>
    <row r="17" spans="1:17" x14ac:dyDescent="0.3">
      <c r="A17">
        <v>16</v>
      </c>
      <c r="B17">
        <v>1</v>
      </c>
      <c r="C17">
        <v>2</v>
      </c>
      <c r="D17">
        <v>2</v>
      </c>
      <c r="E17">
        <v>3</v>
      </c>
      <c r="F17" t="s">
        <v>16</v>
      </c>
      <c r="G17" t="s">
        <v>15</v>
      </c>
      <c r="H17" t="s">
        <v>16</v>
      </c>
      <c r="I17" t="s">
        <v>17</v>
      </c>
      <c r="J17" t="s">
        <v>17</v>
      </c>
      <c r="K17" t="s">
        <v>17</v>
      </c>
      <c r="L17">
        <v>5</v>
      </c>
      <c r="M17">
        <v>28.5</v>
      </c>
      <c r="N17">
        <v>28</v>
      </c>
      <c r="O17">
        <v>45.5</v>
      </c>
      <c r="P17">
        <v>33</v>
      </c>
      <c r="Q17">
        <v>8.9207900000000002</v>
      </c>
    </row>
    <row r="18" spans="1:17" x14ac:dyDescent="0.3">
      <c r="A18">
        <v>17</v>
      </c>
      <c r="B18">
        <v>1</v>
      </c>
      <c r="C18">
        <v>1</v>
      </c>
      <c r="D18">
        <v>1</v>
      </c>
      <c r="E18">
        <v>2</v>
      </c>
      <c r="F18" t="s">
        <v>16</v>
      </c>
      <c r="G18" t="s">
        <v>16</v>
      </c>
      <c r="H18" t="s">
        <v>16</v>
      </c>
      <c r="I18" t="s">
        <v>17</v>
      </c>
      <c r="J18" t="s">
        <v>17</v>
      </c>
      <c r="K18" t="s">
        <v>17</v>
      </c>
      <c r="L18">
        <v>6</v>
      </c>
      <c r="M18">
        <v>34.5</v>
      </c>
      <c r="N18">
        <v>9.5</v>
      </c>
      <c r="O18">
        <v>20.5</v>
      </c>
      <c r="P18">
        <v>15</v>
      </c>
      <c r="Q18">
        <v>11.19758</v>
      </c>
    </row>
    <row r="19" spans="1:17" x14ac:dyDescent="0.3">
      <c r="A19">
        <v>18</v>
      </c>
      <c r="B19">
        <v>2</v>
      </c>
      <c r="C19">
        <v>2</v>
      </c>
      <c r="D19">
        <v>1</v>
      </c>
      <c r="E19">
        <v>3</v>
      </c>
      <c r="F19" t="s">
        <v>15</v>
      </c>
      <c r="G19" t="s">
        <v>15</v>
      </c>
      <c r="H19" t="s">
        <v>15</v>
      </c>
      <c r="I19" t="s">
        <v>17</v>
      </c>
      <c r="J19" t="s">
        <v>17</v>
      </c>
      <c r="K19" t="s">
        <v>17</v>
      </c>
      <c r="L19">
        <v>3</v>
      </c>
      <c r="M19">
        <v>21.5</v>
      </c>
      <c r="N19">
        <v>28</v>
      </c>
      <c r="O19">
        <v>20.5</v>
      </c>
      <c r="P19">
        <v>33</v>
      </c>
      <c r="Q19">
        <v>-4.2615100000000004</v>
      </c>
    </row>
    <row r="20" spans="1:17" x14ac:dyDescent="0.3">
      <c r="A20">
        <v>19</v>
      </c>
      <c r="B20">
        <v>2</v>
      </c>
      <c r="C20">
        <v>1</v>
      </c>
      <c r="D20">
        <v>1</v>
      </c>
      <c r="E20">
        <v>1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>
        <v>0</v>
      </c>
      <c r="M20">
        <v>6</v>
      </c>
      <c r="N20">
        <v>9.5</v>
      </c>
      <c r="O20">
        <v>20.5</v>
      </c>
      <c r="P20">
        <v>4.5</v>
      </c>
      <c r="Q20">
        <v>-20.01107</v>
      </c>
    </row>
    <row r="21" spans="1:17" x14ac:dyDescent="0.3">
      <c r="A21">
        <v>20</v>
      </c>
      <c r="B21">
        <v>2</v>
      </c>
      <c r="C21">
        <v>2</v>
      </c>
      <c r="D21">
        <v>1</v>
      </c>
      <c r="E21">
        <v>2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>
        <v>0</v>
      </c>
      <c r="M21">
        <v>6</v>
      </c>
      <c r="N21">
        <v>28</v>
      </c>
      <c r="O21">
        <v>20.5</v>
      </c>
      <c r="P21">
        <v>15</v>
      </c>
      <c r="Q21">
        <v>-24.404900000000001</v>
      </c>
    </row>
    <row r="22" spans="1:17" x14ac:dyDescent="0.3">
      <c r="A22">
        <v>21</v>
      </c>
      <c r="B22">
        <v>3</v>
      </c>
      <c r="C22">
        <v>2</v>
      </c>
      <c r="D22">
        <v>2</v>
      </c>
      <c r="E22">
        <v>3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>
        <v>0</v>
      </c>
      <c r="M22">
        <v>6</v>
      </c>
      <c r="N22">
        <v>28</v>
      </c>
      <c r="O22">
        <v>45.5</v>
      </c>
      <c r="P22">
        <v>33</v>
      </c>
      <c r="Q22">
        <v>-13.57921</v>
      </c>
    </row>
    <row r="23" spans="1:17" x14ac:dyDescent="0.3">
      <c r="A23">
        <v>22</v>
      </c>
      <c r="B23">
        <v>2</v>
      </c>
      <c r="C23">
        <v>2</v>
      </c>
      <c r="D23">
        <v>1</v>
      </c>
      <c r="E23">
        <v>2</v>
      </c>
      <c r="F23" t="s">
        <v>15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  <c r="L23">
        <v>1</v>
      </c>
      <c r="M23">
        <v>13</v>
      </c>
      <c r="N23">
        <v>28</v>
      </c>
      <c r="O23">
        <v>20.5</v>
      </c>
      <c r="P23">
        <v>15</v>
      </c>
      <c r="Q23">
        <v>-17.404900000000001</v>
      </c>
    </row>
    <row r="24" spans="1:17" x14ac:dyDescent="0.3">
      <c r="A24">
        <v>23</v>
      </c>
      <c r="B24">
        <v>2</v>
      </c>
      <c r="C24">
        <v>1</v>
      </c>
      <c r="D24">
        <v>2</v>
      </c>
      <c r="E24">
        <v>2</v>
      </c>
      <c r="F24" t="s">
        <v>16</v>
      </c>
      <c r="G24" t="s">
        <v>15</v>
      </c>
      <c r="H24" t="s">
        <v>15</v>
      </c>
      <c r="I24" t="s">
        <v>17</v>
      </c>
      <c r="J24" t="s">
        <v>17</v>
      </c>
      <c r="K24" t="s">
        <v>17</v>
      </c>
      <c r="L24">
        <v>4</v>
      </c>
      <c r="M24">
        <v>25.5</v>
      </c>
      <c r="N24">
        <v>9.5</v>
      </c>
      <c r="O24">
        <v>45.5</v>
      </c>
      <c r="P24">
        <v>15</v>
      </c>
      <c r="Q24">
        <v>8.37988</v>
      </c>
    </row>
    <row r="25" spans="1:17" x14ac:dyDescent="0.3">
      <c r="A25">
        <v>24</v>
      </c>
      <c r="B25">
        <v>3</v>
      </c>
      <c r="C25">
        <v>1</v>
      </c>
      <c r="D25">
        <v>1</v>
      </c>
      <c r="E25">
        <v>3</v>
      </c>
      <c r="F25" t="s">
        <v>17</v>
      </c>
      <c r="G25" t="s">
        <v>17</v>
      </c>
      <c r="H25" t="s">
        <v>17</v>
      </c>
      <c r="I25" t="s">
        <v>17</v>
      </c>
      <c r="J25" t="s">
        <v>17</v>
      </c>
      <c r="K25" t="s">
        <v>17</v>
      </c>
      <c r="L25">
        <v>0</v>
      </c>
      <c r="M25">
        <v>6</v>
      </c>
      <c r="N25">
        <v>9.5</v>
      </c>
      <c r="O25">
        <v>20.5</v>
      </c>
      <c r="P25">
        <v>33</v>
      </c>
      <c r="Q25">
        <v>-12.659039999999999</v>
      </c>
    </row>
    <row r="26" spans="1:17" x14ac:dyDescent="0.3">
      <c r="A26">
        <v>25</v>
      </c>
      <c r="B26">
        <v>2</v>
      </c>
      <c r="C26">
        <v>3</v>
      </c>
      <c r="D26">
        <v>1</v>
      </c>
      <c r="E26">
        <v>2</v>
      </c>
      <c r="F26" t="s">
        <v>16</v>
      </c>
      <c r="G26" t="s">
        <v>16</v>
      </c>
      <c r="H26" t="s">
        <v>16</v>
      </c>
      <c r="I26" t="s">
        <v>16</v>
      </c>
      <c r="J26" t="s">
        <v>16</v>
      </c>
      <c r="K26" t="s">
        <v>16</v>
      </c>
      <c r="L26">
        <v>12</v>
      </c>
      <c r="M26">
        <v>45.5</v>
      </c>
      <c r="N26">
        <v>44</v>
      </c>
      <c r="O26">
        <v>20.5</v>
      </c>
      <c r="P26">
        <v>15</v>
      </c>
      <c r="Q26">
        <v>8.9524299999999997</v>
      </c>
    </row>
    <row r="27" spans="1:17" x14ac:dyDescent="0.3">
      <c r="A27">
        <v>26</v>
      </c>
      <c r="B27">
        <v>3</v>
      </c>
      <c r="C27">
        <v>2</v>
      </c>
      <c r="D27">
        <v>1</v>
      </c>
      <c r="E27">
        <v>3</v>
      </c>
      <c r="F27" t="s">
        <v>15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>
        <v>1</v>
      </c>
      <c r="M27">
        <v>13</v>
      </c>
      <c r="N27">
        <v>28</v>
      </c>
      <c r="O27">
        <v>20.5</v>
      </c>
      <c r="P27">
        <v>33</v>
      </c>
      <c r="Q27">
        <v>-12.761509999999999</v>
      </c>
    </row>
    <row r="28" spans="1:17" x14ac:dyDescent="0.3">
      <c r="A28">
        <v>27</v>
      </c>
      <c r="B28">
        <v>2</v>
      </c>
      <c r="C28">
        <v>1</v>
      </c>
      <c r="D28">
        <v>1</v>
      </c>
      <c r="E28">
        <v>2</v>
      </c>
      <c r="F28" t="s">
        <v>17</v>
      </c>
      <c r="G28" t="s">
        <v>17</v>
      </c>
      <c r="H28" t="s">
        <v>17</v>
      </c>
      <c r="I28" t="s">
        <v>17</v>
      </c>
      <c r="J28" t="s">
        <v>17</v>
      </c>
      <c r="K28" t="s">
        <v>17</v>
      </c>
      <c r="L28">
        <v>0</v>
      </c>
      <c r="M28">
        <v>6</v>
      </c>
      <c r="N28">
        <v>9.5</v>
      </c>
      <c r="O28">
        <v>20.5</v>
      </c>
      <c r="P28">
        <v>15</v>
      </c>
      <c r="Q28">
        <v>-17.302420000000001</v>
      </c>
    </row>
    <row r="29" spans="1:17" x14ac:dyDescent="0.3">
      <c r="A29">
        <v>28</v>
      </c>
      <c r="B29">
        <v>1</v>
      </c>
      <c r="C29">
        <v>3</v>
      </c>
      <c r="D29">
        <v>1</v>
      </c>
      <c r="E29">
        <v>4</v>
      </c>
      <c r="F29" t="s">
        <v>18</v>
      </c>
      <c r="G29" t="s">
        <v>18</v>
      </c>
      <c r="H29" t="s">
        <v>16</v>
      </c>
      <c r="I29" t="s">
        <v>16</v>
      </c>
      <c r="J29" t="s">
        <v>16</v>
      </c>
      <c r="K29" t="s">
        <v>16</v>
      </c>
      <c r="L29">
        <v>14</v>
      </c>
      <c r="M29">
        <v>49.5</v>
      </c>
      <c r="N29">
        <v>44</v>
      </c>
      <c r="O29">
        <v>20.5</v>
      </c>
      <c r="P29">
        <v>46.5</v>
      </c>
      <c r="Q29">
        <v>21.07835</v>
      </c>
    </row>
    <row r="30" spans="1:17" x14ac:dyDescent="0.3">
      <c r="A30">
        <v>29</v>
      </c>
      <c r="B30">
        <v>1</v>
      </c>
      <c r="C30">
        <v>2</v>
      </c>
      <c r="D30">
        <v>1</v>
      </c>
      <c r="E30">
        <v>3</v>
      </c>
      <c r="F30" t="s">
        <v>15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>
        <v>6</v>
      </c>
      <c r="M30">
        <v>34.5</v>
      </c>
      <c r="N30">
        <v>28</v>
      </c>
      <c r="O30">
        <v>20.5</v>
      </c>
      <c r="P30">
        <v>33</v>
      </c>
      <c r="Q30">
        <v>8.7384900000000005</v>
      </c>
    </row>
    <row r="31" spans="1:17" x14ac:dyDescent="0.3">
      <c r="A31">
        <v>30</v>
      </c>
      <c r="B31">
        <v>2</v>
      </c>
      <c r="C31">
        <v>1</v>
      </c>
      <c r="D31">
        <v>1</v>
      </c>
      <c r="E31">
        <v>2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>
        <v>0</v>
      </c>
      <c r="M31">
        <v>6</v>
      </c>
      <c r="N31">
        <v>9.5</v>
      </c>
      <c r="O31">
        <v>20.5</v>
      </c>
      <c r="P31">
        <v>15</v>
      </c>
      <c r="Q31">
        <v>-17.302420000000001</v>
      </c>
    </row>
    <row r="32" spans="1:17" x14ac:dyDescent="0.3">
      <c r="A32">
        <v>31</v>
      </c>
      <c r="B32">
        <v>1</v>
      </c>
      <c r="C32">
        <v>2</v>
      </c>
      <c r="D32">
        <v>2</v>
      </c>
      <c r="E32">
        <v>3</v>
      </c>
      <c r="F32" t="s">
        <v>16</v>
      </c>
      <c r="G32" t="s">
        <v>16</v>
      </c>
      <c r="H32" t="s">
        <v>16</v>
      </c>
      <c r="I32" t="s">
        <v>15</v>
      </c>
      <c r="J32" t="s">
        <v>15</v>
      </c>
      <c r="K32" t="s">
        <v>15</v>
      </c>
      <c r="L32">
        <v>9</v>
      </c>
      <c r="M32">
        <v>42</v>
      </c>
      <c r="N32">
        <v>28</v>
      </c>
      <c r="O32">
        <v>45.5</v>
      </c>
      <c r="P32">
        <v>33</v>
      </c>
      <c r="Q32">
        <v>22.42079</v>
      </c>
    </row>
    <row r="33" spans="1:17" x14ac:dyDescent="0.3">
      <c r="A33">
        <v>32</v>
      </c>
      <c r="B33">
        <v>1</v>
      </c>
      <c r="C33">
        <v>2</v>
      </c>
      <c r="D33">
        <v>1</v>
      </c>
      <c r="E33">
        <v>2</v>
      </c>
      <c r="F33" t="s">
        <v>16</v>
      </c>
      <c r="G33" t="s">
        <v>16</v>
      </c>
      <c r="H33" t="s">
        <v>15</v>
      </c>
      <c r="I33" t="s">
        <v>16</v>
      </c>
      <c r="J33" t="s">
        <v>16</v>
      </c>
      <c r="K33" t="s">
        <v>15</v>
      </c>
      <c r="L33">
        <v>10</v>
      </c>
      <c r="M33">
        <v>43.5</v>
      </c>
      <c r="N33">
        <v>28</v>
      </c>
      <c r="O33">
        <v>20.5</v>
      </c>
      <c r="P33">
        <v>15</v>
      </c>
      <c r="Q33">
        <v>13.0951</v>
      </c>
    </row>
    <row r="34" spans="1:17" x14ac:dyDescent="0.3">
      <c r="A34">
        <v>33</v>
      </c>
      <c r="B34">
        <v>2</v>
      </c>
      <c r="C34">
        <v>2</v>
      </c>
      <c r="D34">
        <v>1</v>
      </c>
      <c r="E34">
        <v>3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  <c r="L34">
        <v>6</v>
      </c>
      <c r="M34">
        <v>34.5</v>
      </c>
      <c r="N34">
        <v>28</v>
      </c>
      <c r="O34">
        <v>20.5</v>
      </c>
      <c r="P34">
        <v>33</v>
      </c>
      <c r="Q34">
        <v>8.7384900000000005</v>
      </c>
    </row>
    <row r="35" spans="1:17" x14ac:dyDescent="0.3">
      <c r="A35">
        <v>34</v>
      </c>
      <c r="B35">
        <v>3</v>
      </c>
      <c r="C35">
        <v>1</v>
      </c>
      <c r="D35">
        <v>1</v>
      </c>
      <c r="E35">
        <v>3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>
        <v>0</v>
      </c>
      <c r="M35">
        <v>6</v>
      </c>
      <c r="N35">
        <v>9.5</v>
      </c>
      <c r="O35">
        <v>20.5</v>
      </c>
      <c r="P35">
        <v>33</v>
      </c>
      <c r="Q35">
        <v>-12.659039999999999</v>
      </c>
    </row>
    <row r="36" spans="1:17" x14ac:dyDescent="0.3">
      <c r="A36">
        <v>35</v>
      </c>
      <c r="B36">
        <v>2</v>
      </c>
      <c r="C36">
        <v>1</v>
      </c>
      <c r="D36">
        <v>1</v>
      </c>
      <c r="E36">
        <v>3</v>
      </c>
      <c r="F36" t="s">
        <v>17</v>
      </c>
      <c r="G36" t="s">
        <v>17</v>
      </c>
      <c r="H36" t="s">
        <v>17</v>
      </c>
      <c r="I36" t="s">
        <v>15</v>
      </c>
      <c r="J36" t="s">
        <v>17</v>
      </c>
      <c r="K36" t="s">
        <v>17</v>
      </c>
      <c r="L36">
        <v>1</v>
      </c>
      <c r="M36">
        <v>13</v>
      </c>
      <c r="N36">
        <v>9.5</v>
      </c>
      <c r="O36">
        <v>20.5</v>
      </c>
      <c r="P36">
        <v>33</v>
      </c>
      <c r="Q36">
        <v>-5.6590400000000001</v>
      </c>
    </row>
    <row r="37" spans="1:17" x14ac:dyDescent="0.3">
      <c r="A37">
        <v>36</v>
      </c>
      <c r="B37">
        <v>2</v>
      </c>
      <c r="C37">
        <v>2</v>
      </c>
      <c r="D37">
        <v>2</v>
      </c>
      <c r="E37">
        <v>3</v>
      </c>
      <c r="F37" t="s">
        <v>17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>
        <v>0</v>
      </c>
      <c r="M37">
        <v>6</v>
      </c>
      <c r="N37">
        <v>28</v>
      </c>
      <c r="O37">
        <v>45.5</v>
      </c>
      <c r="P37">
        <v>33</v>
      </c>
      <c r="Q37">
        <v>-13.57921</v>
      </c>
    </row>
    <row r="38" spans="1:17" x14ac:dyDescent="0.3">
      <c r="A38">
        <v>37</v>
      </c>
      <c r="B38">
        <v>1</v>
      </c>
      <c r="C38">
        <v>2</v>
      </c>
      <c r="D38">
        <v>1</v>
      </c>
      <c r="E38">
        <v>2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16</v>
      </c>
      <c r="L38">
        <v>7</v>
      </c>
      <c r="M38">
        <v>39.5</v>
      </c>
      <c r="N38">
        <v>28</v>
      </c>
      <c r="O38">
        <v>20.5</v>
      </c>
      <c r="P38">
        <v>15</v>
      </c>
      <c r="Q38">
        <v>9.0951000000000004</v>
      </c>
    </row>
    <row r="39" spans="1:17" x14ac:dyDescent="0.3">
      <c r="A39">
        <v>38</v>
      </c>
      <c r="B39">
        <v>2</v>
      </c>
      <c r="C39">
        <v>1</v>
      </c>
      <c r="D39">
        <v>1</v>
      </c>
      <c r="E39">
        <v>3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>
        <v>0</v>
      </c>
      <c r="M39">
        <v>6</v>
      </c>
      <c r="N39">
        <v>9.5</v>
      </c>
      <c r="O39">
        <v>20.5</v>
      </c>
      <c r="P39">
        <v>33</v>
      </c>
      <c r="Q39">
        <v>-12.659039999999999</v>
      </c>
    </row>
    <row r="40" spans="1:17" x14ac:dyDescent="0.3">
      <c r="A40">
        <v>39</v>
      </c>
      <c r="B40">
        <v>2</v>
      </c>
      <c r="C40">
        <v>3</v>
      </c>
      <c r="D40">
        <v>1</v>
      </c>
      <c r="E40">
        <v>3</v>
      </c>
      <c r="F40" t="s">
        <v>18</v>
      </c>
      <c r="G40" t="s">
        <v>16</v>
      </c>
      <c r="H40" t="s">
        <v>17</v>
      </c>
      <c r="I40" t="s">
        <v>17</v>
      </c>
      <c r="J40" t="s">
        <v>15</v>
      </c>
      <c r="K40" t="s">
        <v>17</v>
      </c>
      <c r="L40">
        <v>6</v>
      </c>
      <c r="M40">
        <v>34.5</v>
      </c>
      <c r="N40">
        <v>44</v>
      </c>
      <c r="O40">
        <v>20.5</v>
      </c>
      <c r="P40">
        <v>33</v>
      </c>
      <c r="Q40">
        <v>2.5958100000000002</v>
      </c>
    </row>
    <row r="41" spans="1:17" x14ac:dyDescent="0.3">
      <c r="A41">
        <v>40</v>
      </c>
      <c r="B41">
        <v>1</v>
      </c>
      <c r="C41">
        <v>3</v>
      </c>
      <c r="D41">
        <v>1</v>
      </c>
      <c r="E41">
        <v>1</v>
      </c>
      <c r="F41" t="s">
        <v>18</v>
      </c>
      <c r="G41" t="s">
        <v>18</v>
      </c>
      <c r="H41" t="s">
        <v>16</v>
      </c>
      <c r="I41" t="s">
        <v>15</v>
      </c>
      <c r="J41" t="s">
        <v>15</v>
      </c>
      <c r="K41" t="s">
        <v>17</v>
      </c>
      <c r="L41">
        <v>10</v>
      </c>
      <c r="M41">
        <v>43.5</v>
      </c>
      <c r="N41">
        <v>44</v>
      </c>
      <c r="O41">
        <v>20.5</v>
      </c>
      <c r="P41">
        <v>4.5</v>
      </c>
      <c r="Q41">
        <v>4.2437800000000001</v>
      </c>
    </row>
    <row r="42" spans="1:17" x14ac:dyDescent="0.3">
      <c r="A42">
        <v>41</v>
      </c>
      <c r="B42">
        <v>1</v>
      </c>
      <c r="C42">
        <v>2</v>
      </c>
      <c r="D42">
        <v>2</v>
      </c>
      <c r="E42">
        <v>2</v>
      </c>
      <c r="F42" t="s">
        <v>16</v>
      </c>
      <c r="G42" t="s">
        <v>15</v>
      </c>
      <c r="H42" t="s">
        <v>15</v>
      </c>
      <c r="I42" t="s">
        <v>17</v>
      </c>
      <c r="J42" t="s">
        <v>15</v>
      </c>
      <c r="K42" t="s">
        <v>17</v>
      </c>
      <c r="L42">
        <v>5</v>
      </c>
      <c r="M42">
        <v>28.5</v>
      </c>
      <c r="N42">
        <v>28</v>
      </c>
      <c r="O42">
        <v>45.5</v>
      </c>
      <c r="P42">
        <v>15</v>
      </c>
      <c r="Q42">
        <v>4.2774099999999997</v>
      </c>
    </row>
    <row r="43" spans="1:17" x14ac:dyDescent="0.3">
      <c r="A43">
        <v>42</v>
      </c>
      <c r="B43">
        <v>2</v>
      </c>
      <c r="C43">
        <v>1</v>
      </c>
      <c r="D43">
        <v>1</v>
      </c>
      <c r="E43">
        <v>4</v>
      </c>
      <c r="F43" t="s">
        <v>17</v>
      </c>
      <c r="G43" t="s">
        <v>16</v>
      </c>
      <c r="H43" t="s">
        <v>16</v>
      </c>
      <c r="I43" t="s">
        <v>16</v>
      </c>
      <c r="J43" t="s">
        <v>16</v>
      </c>
      <c r="K43" t="s">
        <v>17</v>
      </c>
      <c r="L43">
        <v>8</v>
      </c>
      <c r="M43">
        <v>41</v>
      </c>
      <c r="N43">
        <v>9.5</v>
      </c>
      <c r="O43">
        <v>20.5</v>
      </c>
      <c r="P43">
        <v>46.5</v>
      </c>
      <c r="Q43">
        <v>25.823499999999999</v>
      </c>
    </row>
    <row r="44" spans="1:17" x14ac:dyDescent="0.3">
      <c r="A44">
        <v>43</v>
      </c>
      <c r="B44">
        <v>1</v>
      </c>
      <c r="C44">
        <v>3</v>
      </c>
      <c r="D44">
        <v>1</v>
      </c>
      <c r="E44">
        <v>4</v>
      </c>
      <c r="F44" t="s">
        <v>16</v>
      </c>
      <c r="G44" t="s">
        <v>16</v>
      </c>
      <c r="H44" t="s">
        <v>15</v>
      </c>
      <c r="I44" t="s">
        <v>17</v>
      </c>
      <c r="J44" t="s">
        <v>15</v>
      </c>
      <c r="K44" t="s">
        <v>15</v>
      </c>
      <c r="L44">
        <v>7</v>
      </c>
      <c r="M44">
        <v>39.5</v>
      </c>
      <c r="N44">
        <v>44</v>
      </c>
      <c r="O44">
        <v>20.5</v>
      </c>
      <c r="P44">
        <v>46.5</v>
      </c>
      <c r="Q44">
        <v>11.07835</v>
      </c>
    </row>
    <row r="45" spans="1:17" x14ac:dyDescent="0.3">
      <c r="A45">
        <v>44</v>
      </c>
      <c r="B45">
        <v>1</v>
      </c>
      <c r="C45">
        <v>1</v>
      </c>
      <c r="D45">
        <v>1</v>
      </c>
      <c r="E45">
        <v>3</v>
      </c>
      <c r="F45" t="s">
        <v>16</v>
      </c>
      <c r="G45" t="s">
        <v>16</v>
      </c>
      <c r="H45" t="s">
        <v>17</v>
      </c>
      <c r="I45" t="s">
        <v>17</v>
      </c>
      <c r="J45" t="s">
        <v>17</v>
      </c>
      <c r="K45" t="s">
        <v>17</v>
      </c>
      <c r="L45">
        <v>4</v>
      </c>
      <c r="M45">
        <v>25.5</v>
      </c>
      <c r="N45">
        <v>9.5</v>
      </c>
      <c r="O45">
        <v>20.5</v>
      </c>
      <c r="P45">
        <v>33</v>
      </c>
      <c r="Q45">
        <v>6.8409599999999999</v>
      </c>
    </row>
    <row r="46" spans="1:17" x14ac:dyDescent="0.3">
      <c r="A46">
        <v>45</v>
      </c>
      <c r="B46">
        <v>1</v>
      </c>
      <c r="C46">
        <v>3</v>
      </c>
      <c r="D46">
        <v>1</v>
      </c>
      <c r="E46">
        <v>3</v>
      </c>
      <c r="F46" t="s">
        <v>16</v>
      </c>
      <c r="G46" t="s">
        <v>17</v>
      </c>
      <c r="H46" t="s">
        <v>15</v>
      </c>
      <c r="I46" t="s">
        <v>17</v>
      </c>
      <c r="J46" t="s">
        <v>17</v>
      </c>
      <c r="K46" t="s">
        <v>17</v>
      </c>
      <c r="L46">
        <v>3</v>
      </c>
      <c r="M46">
        <v>21.5</v>
      </c>
      <c r="N46">
        <v>44</v>
      </c>
      <c r="O46">
        <v>20.5</v>
      </c>
      <c r="P46">
        <v>33</v>
      </c>
      <c r="Q46">
        <v>-10.40419</v>
      </c>
    </row>
    <row r="47" spans="1:17" x14ac:dyDescent="0.3">
      <c r="A47">
        <v>46</v>
      </c>
      <c r="B47">
        <v>1</v>
      </c>
      <c r="C47">
        <v>2</v>
      </c>
      <c r="D47">
        <v>1</v>
      </c>
      <c r="E47">
        <v>1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>
        <v>12</v>
      </c>
      <c r="M47">
        <v>45.5</v>
      </c>
      <c r="N47">
        <v>28</v>
      </c>
      <c r="O47">
        <v>20.5</v>
      </c>
      <c r="P47">
        <v>4.5</v>
      </c>
      <c r="Q47">
        <v>12.38646</v>
      </c>
    </row>
    <row r="48" spans="1:17" x14ac:dyDescent="0.3">
      <c r="A48">
        <v>47</v>
      </c>
      <c r="B48">
        <v>1</v>
      </c>
      <c r="C48">
        <v>2</v>
      </c>
      <c r="D48">
        <v>1</v>
      </c>
      <c r="E48">
        <v>1</v>
      </c>
      <c r="F48" t="s">
        <v>18</v>
      </c>
      <c r="G48" t="s">
        <v>18</v>
      </c>
      <c r="H48" t="s">
        <v>18</v>
      </c>
      <c r="I48" t="s">
        <v>15</v>
      </c>
      <c r="J48" t="s">
        <v>16</v>
      </c>
      <c r="K48" t="s">
        <v>15</v>
      </c>
      <c r="L48">
        <v>13</v>
      </c>
      <c r="M48">
        <v>47.5</v>
      </c>
      <c r="N48">
        <v>28</v>
      </c>
      <c r="O48">
        <v>20.5</v>
      </c>
      <c r="P48">
        <v>4.5</v>
      </c>
      <c r="Q48">
        <v>14.38646</v>
      </c>
    </row>
    <row r="49" spans="1:17" x14ac:dyDescent="0.3">
      <c r="A49">
        <v>48</v>
      </c>
      <c r="B49">
        <v>3</v>
      </c>
      <c r="C49">
        <v>3</v>
      </c>
      <c r="D49">
        <v>2</v>
      </c>
      <c r="E49">
        <v>5</v>
      </c>
      <c r="F49" t="s">
        <v>17</v>
      </c>
      <c r="G49" t="s">
        <v>17</v>
      </c>
      <c r="H49" t="s">
        <v>17</v>
      </c>
      <c r="I49" t="s">
        <v>17</v>
      </c>
      <c r="J49" t="s">
        <v>17</v>
      </c>
      <c r="K49" t="s">
        <v>17</v>
      </c>
      <c r="L49">
        <v>0</v>
      </c>
      <c r="M49">
        <v>6</v>
      </c>
      <c r="N49">
        <v>44</v>
      </c>
      <c r="O49">
        <v>45.5</v>
      </c>
      <c r="P49">
        <v>49.5</v>
      </c>
      <c r="Q49">
        <v>-15.465450000000001</v>
      </c>
    </row>
    <row r="50" spans="1:17" x14ac:dyDescent="0.3">
      <c r="A50">
        <v>49</v>
      </c>
      <c r="B50">
        <v>1</v>
      </c>
      <c r="C50">
        <v>3</v>
      </c>
      <c r="D50">
        <v>2</v>
      </c>
      <c r="E50">
        <v>1</v>
      </c>
      <c r="F50" t="s">
        <v>18</v>
      </c>
      <c r="G50" t="s">
        <v>18</v>
      </c>
      <c r="H50" t="s">
        <v>16</v>
      </c>
      <c r="I50" t="s">
        <v>15</v>
      </c>
      <c r="J50" t="s">
        <v>18</v>
      </c>
      <c r="K50" t="s">
        <v>16</v>
      </c>
      <c r="L50">
        <v>14</v>
      </c>
      <c r="M50">
        <v>49.5</v>
      </c>
      <c r="N50">
        <v>44</v>
      </c>
      <c r="O50">
        <v>45.5</v>
      </c>
      <c r="P50">
        <v>4.5</v>
      </c>
      <c r="Q50">
        <v>16.426089999999999</v>
      </c>
    </row>
    <row r="51" spans="1:17" x14ac:dyDescent="0.3">
      <c r="A51">
        <v>50</v>
      </c>
      <c r="B51">
        <v>1</v>
      </c>
      <c r="C51">
        <v>3</v>
      </c>
      <c r="D51">
        <v>1</v>
      </c>
      <c r="E51">
        <v>2</v>
      </c>
      <c r="F51" t="s">
        <v>18</v>
      </c>
      <c r="G51" t="s">
        <v>18</v>
      </c>
      <c r="H51" t="s">
        <v>16</v>
      </c>
      <c r="I51" t="s">
        <v>16</v>
      </c>
      <c r="J51" t="s">
        <v>16</v>
      </c>
      <c r="K51" t="s">
        <v>15</v>
      </c>
      <c r="L51">
        <v>13</v>
      </c>
      <c r="M51">
        <v>47.5</v>
      </c>
      <c r="N51">
        <v>44</v>
      </c>
      <c r="O51">
        <v>20.5</v>
      </c>
      <c r="P51">
        <v>15</v>
      </c>
      <c r="Q51">
        <v>10.95243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AC123-0AFC-4660-BA72-D0C046047182}">
  <dimension ref="B2:B236"/>
  <sheetViews>
    <sheetView topLeftCell="A229" workbookViewId="0">
      <selection activeCell="J240" sqref="J240"/>
    </sheetView>
  </sheetViews>
  <sheetFormatPr defaultRowHeight="14.4" x14ac:dyDescent="0.3"/>
  <cols>
    <col min="15" max="15" width="13.77734375" bestFit="1" customWidth="1"/>
  </cols>
  <sheetData>
    <row r="2" spans="2:2" x14ac:dyDescent="0.3">
      <c r="B2" t="s">
        <v>21</v>
      </c>
    </row>
    <row r="18" spans="2:2" x14ac:dyDescent="0.3">
      <c r="B18" t="s">
        <v>24</v>
      </c>
    </row>
    <row r="136" spans="2:2" x14ac:dyDescent="0.3">
      <c r="B136" t="s">
        <v>22</v>
      </c>
    </row>
    <row r="192" spans="2:2" x14ac:dyDescent="0.3">
      <c r="B192" t="s">
        <v>25</v>
      </c>
    </row>
    <row r="196" spans="2:2" x14ac:dyDescent="0.3">
      <c r="B196" s="2"/>
    </row>
    <row r="197" spans="2:2" ht="17.399999999999999" x14ac:dyDescent="0.3">
      <c r="B197" s="3"/>
    </row>
    <row r="216" spans="2:2" x14ac:dyDescent="0.3">
      <c r="B216" t="s">
        <v>23</v>
      </c>
    </row>
    <row r="217" spans="2:2" x14ac:dyDescent="0.3">
      <c r="B217" t="s">
        <v>26</v>
      </c>
    </row>
    <row r="236" spans="2:2" x14ac:dyDescent="0.3">
      <c r="B236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outliers (1)</vt:lpstr>
      <vt:lpstr>NEW QUADE NONPAR ANCOVA</vt:lpstr>
      <vt:lpstr>NEW DATA TO INTERPRET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 Candelaria</dc:creator>
  <cp:lastModifiedBy>Arvin Candelaria</cp:lastModifiedBy>
  <dcterms:created xsi:type="dcterms:W3CDTF">2025-12-05T16:44:44Z</dcterms:created>
  <dcterms:modified xsi:type="dcterms:W3CDTF">2025-12-06T03:38:56Z</dcterms:modified>
</cp:coreProperties>
</file>